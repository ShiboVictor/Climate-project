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11\Desktop\pj\国家划分数据集\climate_by_country_reset\FloodPredict\"/>
    </mc:Choice>
  </mc:AlternateContent>
  <xr:revisionPtr revIDLastSave="0" documentId="13_ncr:1_{F5912971-4107-495B-ACC4-D6B478FC0F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<sst xmlns="http://schemas.openxmlformats.org/spreadsheetml/2006/main" count="72" uniqueCount="36">
  <si>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China</t>
    <phoneticPr fontId="1" type="noConversion"/>
  </si>
  <si>
    <t>India</t>
    <phoneticPr fontId="1" type="noConversion"/>
  </si>
  <si>
    <t>Indonesia</t>
  </si>
  <si>
    <t>Japan</t>
  </si>
  <si>
    <t>Philippines</t>
  </si>
  <si>
    <t>Thailand</t>
  </si>
  <si>
    <t>Vietnam</t>
  </si>
  <si>
    <t>MSE</t>
    <phoneticPr fontId="1" type="noConversion"/>
  </si>
  <si>
    <t>RMSE</t>
    <phoneticPr fontId="1" type="noConversion"/>
  </si>
  <si>
    <t>MAE</t>
    <phoneticPr fontId="1" type="noConversion"/>
  </si>
  <si>
    <t>MAPE</t>
    <phoneticPr fontId="1" type="noConversion"/>
  </si>
  <si>
    <t>R2</t>
    <phoneticPr fontId="1" type="noConversion"/>
  </si>
  <si>
    <t>Malaysia</t>
    <phoneticPr fontId="1" type="noConversion"/>
  </si>
  <si>
    <t>Model</t>
    <phoneticPr fontId="1" type="noConversion"/>
  </si>
  <si>
    <t>Country</t>
    <phoneticPr fontId="1" type="noConversion"/>
  </si>
  <si>
    <t>LSTM</t>
    <phoneticPr fontId="1" type="noConversion"/>
  </si>
  <si>
    <t>CEEMDAN-LSTM</t>
    <phoneticPr fontId="1" type="noConversion"/>
  </si>
  <si>
    <t>CEEMDAN-CNN-LSTM</t>
    <phoneticPr fontId="1" type="noConversion"/>
  </si>
  <si>
    <t>行标签</t>
  </si>
  <si>
    <t>总计</t>
  </si>
  <si>
    <t>求和项:MSE</t>
  </si>
  <si>
    <t>求和项:RMSE</t>
  </si>
  <si>
    <t>求和项:MAE</t>
  </si>
  <si>
    <t xml:space="preserve"> compare with LSTM</t>
    <phoneticPr fontId="1" type="noConversion"/>
  </si>
  <si>
    <t>improve</t>
    <phoneticPr fontId="1" type="noConversion"/>
  </si>
  <si>
    <t>not improve</t>
    <phoneticPr fontId="1" type="noConversion"/>
  </si>
  <si>
    <t>我用相同的模型（CEEMDAN-CNN-LSTM，CEEMDAN-LSTM。LSTM），分别导入不同国家的数据 从预测结果进行分析 你可以参考我的原始数据进行思考和分析，写一篇总结报告</t>
  </si>
  <si>
    <t>pr (0.990) r20mm (0.972) r50mm (0.920) tasmin (0.947) tas (0.942) tasmax (0.935) hurs (0.466)</t>
    <phoneticPr fontId="1" type="noConversion"/>
  </si>
  <si>
    <t>pr (0.982) r20mm (0.969) r50mm (0.949) tasmin (0.711) tas (0.517) hurs (0.788) hi35 (0.550)</t>
    <phoneticPr fontId="1" type="noConversion"/>
  </si>
  <si>
    <t>pr (0.940) r20mm (0.939) r50mm (0.701) hurs (0.634) tasmin (0.535) tas (0.263) hd35 (-0.280)</t>
    <phoneticPr fontId="1" type="noConversion"/>
  </si>
  <si>
    <t>pr (0.933) r20mm (0.902) r50mm (0.930) tasmin (0.764) tas (0.756) tasmax (0.746) hurs (0.720)</t>
    <phoneticPr fontId="1" type="noConversion"/>
  </si>
  <si>
    <t>pr (0.850) r20mm (0.916) r50mm (0.858) hurs (0.539) tasmax (-0.371) tas (-0.233) hd35 (-0.244)</t>
    <phoneticPr fontId="1" type="noConversion"/>
  </si>
  <si>
    <t>pr (0.922) r20mm (0.903) r50mm (0.857) hurs (0.730) tasmin (0.408) tas (0.171) hd35 (-0.266)</t>
    <phoneticPr fontId="1" type="noConversion"/>
  </si>
  <si>
    <t>pr (0.962) r20mm (0.936) r50mm (0.774) hurs (0.827) tasmin (0.715) tas (0.418) hd35 (-0.237)</t>
    <phoneticPr fontId="1" type="noConversion"/>
  </si>
  <si>
    <t>pr (0.957) r20mm (0.950) r50mm (0.849) hurs (0.775) tasmin (0.721) tas (0.651) hd35 (-0.010)</t>
    <phoneticPr fontId="1" type="noConversion"/>
  </si>
  <si>
    <t xml:space="preserve">Selected Variables (The top 7 variables with the highest correlation coefficient with rx5day)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</si>
</sst>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%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11" refreshedDate="45891.561941550928" createdVersion="8" refreshedVersion="8" minRefreshableVersion="3" recordCount="27" xr:uid="{02615020-32BF-4E69-A5AD-2309E2B1D8BB}">
  <cacheSource type="worksheet">
    <worksheetSource ref="A1:H1048576" sheet="Sheet1"/>
  </cacheSource>
  <cacheFields count="8">
    <cacheField name="Country" numFmtId="0">
      <sharedItems containsBlank="1" count="9">
        <s v="China"/>
        <m/>
        <s v="India"/>
        <s v="Indonesia"/>
        <s v="Japan"/>
        <s v="Malaysia"/>
        <s v="Philippines"/>
        <s v="Thailand"/>
        <s v="Vietnam"/>
      </sharedItems>
    </cacheField>
    <cacheField name="Variable" numFmtId="0">
      <sharedItems containsBlank="1"/>
    </cacheField>
    <cacheField name="Model" numFmtId="0">
      <sharedItems containsBlank="1" count="4">
        <s v="LSTM"/>
        <s v="CEEMDAN-LSTM"/>
        <s v="CEEMDAN-CNN-LSTM"/>
        <m/>
      </sharedItems>
    </cacheField>
    <cacheField name="MSE" numFmtId="0">
      <sharedItems containsString="0" containsBlank="1" containsNumber="1" minValue="2.12487822228755" maxValue="10.292454986658299"/>
    </cacheField>
    <cacheField name="RMSE" numFmtId="0">
      <sharedItems containsString="0" containsBlank="1" containsNumber="1" minValue="1.4576962037021099" maxValue="3.20818562222611"/>
    </cacheField>
    <cacheField name="MAE" numFmtId="0">
      <sharedItems containsString="0" containsBlank="1" containsNumber="1" minValue="1.10963004646879" maxValue="2.5101118232264601"/>
    </cacheField>
    <cacheField name="MAPE" numFmtId="0">
      <sharedItems containsString="0" containsBlank="1" containsNumber="1" minValue="7.3175517404997906E-2" maxValue="0.50347493181396696"/>
    </cacheField>
    <cacheField name="R2" numFmtId="0">
      <sharedItems containsString="0" containsBlank="1" containsNumber="1" minValue="-0.72811517675371196" maxValue="0.90391528978563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rx1day (0.935) rx5day (0.929) pr (0.928) tasmin (0.927) tas (0.925) tasmax (0.919) r20mm (0.888)"/>
    <x v="0"/>
    <n v="2.3053531816994002"/>
    <n v="1.5183389548119299"/>
    <n v="1.18547496580539"/>
    <n v="7.7850032914750705E-2"/>
    <n v="0.89704299733092496"/>
  </r>
  <r>
    <x v="1"/>
    <m/>
    <x v="1"/>
    <n v="2.12487822228755"/>
    <n v="1.4576962037021099"/>
    <n v="1.10963004646879"/>
    <n v="7.3175517404997906E-2"/>
    <n v="0.90391528978563396"/>
  </r>
  <r>
    <x v="1"/>
    <m/>
    <x v="2"/>
    <n v="2.1721531218891199"/>
    <n v="1.47382262226128"/>
    <n v="1.1192924073248101"/>
    <n v="7.5748232486840997E-2"/>
    <n v="0.90177756961843303"/>
  </r>
  <r>
    <x v="2"/>
    <s v="pr (0.921) rx5day (0.915) rx1day (0.913) r20mm (0.877) r50mm (0.821) hurs (0.807) tasmin (0.690)"/>
    <x v="0"/>
    <n v="8.5710561235546496"/>
    <n v="2.92763661057083"/>
    <n v="2.2340131558869998"/>
    <n v="0.221457970910788"/>
    <n v="0.86432552925873996"/>
  </r>
  <r>
    <x v="1"/>
    <m/>
    <x v="1"/>
    <n v="7.5216615683753902"/>
    <n v="2.74256477924868"/>
    <n v="2.12796207630273"/>
    <n v="0.184278559150171"/>
    <n v="0.880961964697626"/>
  </r>
  <r>
    <x v="1"/>
    <m/>
    <x v="2"/>
    <n v="10.292454986658299"/>
    <n v="3.20818562222611"/>
    <n v="2.5101118232264601"/>
    <n v="0.22605791420384699"/>
    <n v="0.83711130726737004"/>
  </r>
  <r>
    <x v="3"/>
    <s v="hurs (0.904) pr (0.838) rx5day (0.761) r20mm (0.662) rx1day (0.617) hd35 (0.535) tasmin (0.330)"/>
    <x v="0"/>
    <n v="2.24231900410616"/>
    <n v="1.49743747919776"/>
    <n v="1.12794751099737"/>
    <n v="0.44607162914840398"/>
    <n v="0.65404599361663396"/>
  </r>
  <r>
    <x v="1"/>
    <m/>
    <x v="1"/>
    <n v="2.4754243120258899"/>
    <n v="1.5733481216901399"/>
    <n v="1.1981275280316599"/>
    <n v="0.442246951235855"/>
    <n v="0.60747754977323898"/>
  </r>
  <r>
    <x v="1"/>
    <m/>
    <x v="2"/>
    <n v="2.3982401837604899"/>
    <n v="1.5486252560772999"/>
    <n v="1.2199470147942"/>
    <n v="0.50347493181396696"/>
    <n v="0.61971646291559002"/>
  </r>
  <r>
    <x v="4"/>
    <s v="pr (0.440) r20mm (0.377) rx5day (0.275) rx1day (0.255) hurs (0.248) r50mm (0.225) tasmin (0.127)"/>
    <x v="0"/>
    <n v="2.5439473955688201"/>
    <n v="1.59497567240658"/>
    <n v="1.24378674550164"/>
    <n v="0.205290780865688"/>
    <n v="-9.3233208723496094E-2"/>
  </r>
  <r>
    <x v="1"/>
    <m/>
    <x v="1"/>
    <n v="2.8602905691581002"/>
    <n v="1.6912393589193999"/>
    <n v="1.2971371285843101"/>
    <n v="0.20939949378513201"/>
    <n v="-0.21387376379452699"/>
  </r>
  <r>
    <x v="1"/>
    <m/>
    <x v="2"/>
    <n v="4.0720144795256701"/>
    <n v="2.0179233086333199"/>
    <n v="1.6059701171788301"/>
    <n v="0.26390332987701698"/>
    <n v="-0.72811517675371196"/>
  </r>
  <r>
    <x v="5"/>
    <s v="hurs (0.749) pr (0.710) r20mm (0.469) rx5day (0.404) hd35 (0.329) rx1day (0.295) tasmax (0.15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6"/>
    <s v="hurs (0.836) pr (0.823) rx5day (0.701) r20mm (0.696) rx1day (0.590) tasmin (0.499) r50mm (0.40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7"/>
    <s v="pr (0.900) rx5day (0.875) rx1day (0.834) hurs (0.829) tasmin (0.820) r20mm (0.780) tas (0.544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8"/>
    <s v="pr (0.884) tasmin (0.845) rx5day (0.824) r20mm (0.803) hurs (0.799) tas (0.786) rx1day (0.778)"/>
    <x v="0"/>
    <m/>
    <m/>
    <m/>
    <m/>
    <m/>
  </r>
  <r>
    <x v="1"/>
    <m/>
    <x v="1"/>
    <m/>
    <m/>
    <m/>
    <m/>
    <m/>
  </r>
  <r>
    <x v="1"/>
    <m/>
    <x v="2"/>
    <m/>
    <m/>
    <m/>
    <m/>
    <m/>
  </r>
  <r>
    <x v="1"/>
    <m/>
    <x v="3"/>
    <m/>
    <m/>
    <m/>
    <m/>
    <m/>
  </r>
  <r>
    <x v="1"/>
    <m/>
    <x v="3"/>
    <m/>
    <m/>
    <m/>
    <m/>
    <m/>
  </r>
  <r>
    <x v="1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FC2FD-B061-4BCE-92B9-DD7954A65F04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5" firstHeaderRow="0" firstDataRow="1" firstDataCol="1"/>
  <pivotFields count="8">
    <pivotField axis="axisRow" showAll="0">
      <items count="10">
        <item h="1" x="0"/>
        <item h="1" x="2"/>
        <item h="1" x="3"/>
        <item x="4"/>
        <item h="1" x="5"/>
        <item h="1" x="6"/>
        <item h="1" x="7"/>
        <item h="1" x="8"/>
        <item h="1"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MSE" fld="3" baseField="0" baseItem="0"/>
    <dataField name="求和项:RMSE" fld="4" baseField="0" baseItem="0"/>
    <dataField name="求和项:MA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4726-A1A1-43B4-986B-EDB2524F2869}">
  <dimension ref="A3:D5"/>
  <sheetViews>
    <sheetView workbookViewId="0">
      <selection activeCell="A3" sqref="A3"/>
    </sheetView>
  </sheetViews>
  <sheetFormatPr defaultRowHeight="13.8" x14ac:dyDescent="0.25"/>
  <cols>
    <col min="1" max="1" width="9.77734375" bestFit="1" customWidth="1"/>
    <col min="2" max="4" width="14.109375" bestFit="1" customWidth="1"/>
  </cols>
  <sheetData>
    <row r="3" spans="1:4" x14ac:dyDescent="0.25">
      <c r="A3" s="5" t="s">
        <v>18</v>
      </c>
      <c r="B3" t="s">
        <v>20</v>
      </c>
      <c r="C3" t="s">
        <v>21</v>
      </c>
      <c r="D3" t="s">
        <v>22</v>
      </c>
    </row>
    <row r="4" spans="1:4" x14ac:dyDescent="0.25">
      <c r="A4" s="6" t="s">
        <v>3</v>
      </c>
      <c r="B4">
        <v>2.5439473955688201</v>
      </c>
      <c r="C4">
        <v>1.59497567240658</v>
      </c>
      <c r="D4">
        <v>1.24378674550164</v>
      </c>
    </row>
    <row r="5" spans="1:4" x14ac:dyDescent="0.25">
      <c r="A5" s="6" t="s">
        <v>19</v>
      </c>
      <c r="B5">
        <v>2.5439473955688201</v>
      </c>
      <c r="C5">
        <v>1.59497567240658</v>
      </c>
      <c r="D5">
        <v>1.24378674550164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xSplit="1" topLeftCell="B1" activePane="topRight" state="frozen"/>
      <selection pane="topRight" activeCell="B8" sqref="B8:B10"/>
    </sheetView>
  </sheetViews>
  <sheetFormatPr defaultRowHeight="13.8" x14ac:dyDescent="0.25"/>
  <cols>
    <col min="1" max="1" width="10.6640625" style="1" bestFit="1" customWidth="1"/>
    <col min="2" max="2" width="91.77734375" style="1" customWidth="1"/>
    <col min="3" max="3" width="20.88671875" style="1" customWidth="1"/>
    <col min="4" max="4" width="13.6640625" style="1" customWidth="1"/>
    <col min="5" max="5" width="12.109375" style="1" customWidth="1"/>
    <col min="6" max="6" width="11.21875" style="1" customWidth="1"/>
    <col min="7" max="7" width="11.6640625" style="1" customWidth="1"/>
    <col min="8" max="8" width="11.44140625" style="1" customWidth="1"/>
    <col min="9" max="9" width="19.44140625" style="1" customWidth="1"/>
    <col min="10" max="10" width="12.109375" style="1" customWidth="1"/>
    <col min="11" max="16384" width="8.88671875" style="1"/>
  </cols>
  <sheetData>
    <row r="1" spans="1:9" ht="17.399999999999999" x14ac:dyDescent="0.25">
      <c r="A1" s="8" t="s">
        <v>14</v>
      </c>
      <c r="B1" s="7" t="s">
        <v>35</v>
      </c>
      <c r="C1" s="8" t="s">
        <v>13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1" t="s">
        <v>23</v>
      </c>
    </row>
    <row r="2" spans="1:9" x14ac:dyDescent="0.25">
      <c r="A2" s="11" t="s">
        <v>0</v>
      </c>
      <c r="B2" s="12" t="s">
        <v>27</v>
      </c>
      <c r="C2" s="2" t="s">
        <v>15</v>
      </c>
      <c r="D2" s="3">
        <v>16.458341202530001</v>
      </c>
      <c r="E2" s="3">
        <v>4.0568881180690699</v>
      </c>
      <c r="F2" s="3">
        <v>3.2102942753555102</v>
      </c>
      <c r="G2" s="4">
        <v>0.14039569927779599</v>
      </c>
      <c r="H2" s="4">
        <v>0.94280986656384203</v>
      </c>
    </row>
    <row r="3" spans="1:9" x14ac:dyDescent="0.25">
      <c r="A3" s="11"/>
      <c r="B3" s="12"/>
      <c r="C3" s="2" t="s">
        <v>16</v>
      </c>
      <c r="D3" s="3">
        <v>15.501360816736801</v>
      </c>
      <c r="E3" s="3">
        <v>3.9371767571112199</v>
      </c>
      <c r="F3" s="3">
        <v>3.1001122467445601</v>
      </c>
      <c r="G3" s="4">
        <v>0.13979167702787701</v>
      </c>
      <c r="H3" s="4">
        <v>0.94599335587805999</v>
      </c>
      <c r="I3" s="10" t="s">
        <v>24</v>
      </c>
    </row>
    <row r="4" spans="1:9" x14ac:dyDescent="0.25">
      <c r="A4" s="11"/>
      <c r="B4" s="12"/>
      <c r="C4" s="2" t="s">
        <v>17</v>
      </c>
      <c r="D4" s="3">
        <v>15.478191925228099</v>
      </c>
      <c r="E4" s="3">
        <v>3.93423333385656</v>
      </c>
      <c r="F4" s="3">
        <v>3.1174290288578299</v>
      </c>
      <c r="G4" s="4">
        <v>0.141434472541794</v>
      </c>
      <c r="H4" s="4">
        <v>0.94607407615115102</v>
      </c>
      <c r="I4" s="10" t="s">
        <v>24</v>
      </c>
    </row>
    <row r="5" spans="1:9" x14ac:dyDescent="0.25">
      <c r="A5" s="11" t="s">
        <v>1</v>
      </c>
      <c r="B5" s="12" t="s">
        <v>28</v>
      </c>
      <c r="C5" s="2" t="s">
        <v>15</v>
      </c>
      <c r="D5" s="3">
        <v>170.74704902095601</v>
      </c>
      <c r="E5" s="3">
        <v>13.067021428809101</v>
      </c>
      <c r="F5" s="3">
        <v>10.265763752442499</v>
      </c>
      <c r="G5" s="4">
        <v>0.320388190228235</v>
      </c>
      <c r="H5" s="4">
        <v>0.89841949952382905</v>
      </c>
    </row>
    <row r="6" spans="1:9" x14ac:dyDescent="0.25">
      <c r="A6" s="11"/>
      <c r="B6" s="12"/>
      <c r="C6" s="2" t="s">
        <v>16</v>
      </c>
      <c r="D6" s="3">
        <v>168.48573701023801</v>
      </c>
      <c r="E6" s="3">
        <v>12.980205584282499</v>
      </c>
      <c r="F6" s="3">
        <v>10.4684591871319</v>
      </c>
      <c r="G6" s="4">
        <v>0.31588085271321398</v>
      </c>
      <c r="H6" s="4">
        <v>0.90026368353553199</v>
      </c>
      <c r="I6" s="10" t="s">
        <v>24</v>
      </c>
    </row>
    <row r="7" spans="1:9" x14ac:dyDescent="0.25">
      <c r="A7" s="11"/>
      <c r="B7" s="12"/>
      <c r="C7" s="2" t="s">
        <v>17</v>
      </c>
      <c r="D7" s="3">
        <v>215.572808727884</v>
      </c>
      <c r="E7" s="3">
        <v>14.6823979215891</v>
      </c>
      <c r="F7" s="3">
        <v>11.5364426699551</v>
      </c>
      <c r="G7" s="4">
        <v>0.49808329864793399</v>
      </c>
      <c r="H7" s="4">
        <v>0.87239016041392403</v>
      </c>
      <c r="I7" s="9" t="s">
        <v>25</v>
      </c>
    </row>
    <row r="8" spans="1:9" x14ac:dyDescent="0.25">
      <c r="A8" s="11" t="s">
        <v>2</v>
      </c>
      <c r="B8" s="12" t="s">
        <v>29</v>
      </c>
      <c r="C8" s="2" t="s">
        <v>15</v>
      </c>
      <c r="D8" s="3">
        <v>156.57179565104499</v>
      </c>
      <c r="E8" s="3">
        <v>12.512865205501299</v>
      </c>
      <c r="F8" s="3">
        <v>10.2986407746049</v>
      </c>
      <c r="G8" s="4">
        <v>0.11752151587628901</v>
      </c>
      <c r="H8" s="4">
        <v>0.48724957035736499</v>
      </c>
    </row>
    <row r="9" spans="1:9" x14ac:dyDescent="0.25">
      <c r="A9" s="11"/>
      <c r="B9" s="12"/>
      <c r="C9" s="2" t="s">
        <v>16</v>
      </c>
      <c r="D9" s="3">
        <v>151.70773459698799</v>
      </c>
      <c r="E9" s="3">
        <v>12.316969375499299</v>
      </c>
      <c r="F9" s="3">
        <v>9.93073168667879</v>
      </c>
      <c r="G9" s="4">
        <v>0.11278167776996401</v>
      </c>
      <c r="H9" s="4">
        <v>0.49375921008544899</v>
      </c>
      <c r="I9" s="10" t="s">
        <v>24</v>
      </c>
    </row>
    <row r="10" spans="1:9" x14ac:dyDescent="0.25">
      <c r="A10" s="11"/>
      <c r="B10" s="12"/>
      <c r="C10" s="2" t="s">
        <v>17</v>
      </c>
      <c r="D10" s="3">
        <v>151.86330074320199</v>
      </c>
      <c r="E10" s="3">
        <v>12.3232828719949</v>
      </c>
      <c r="F10" s="3">
        <v>9.8248371066469105</v>
      </c>
      <c r="G10" s="4">
        <v>0.108176027509609</v>
      </c>
      <c r="H10" s="4">
        <v>0.47855161088187098</v>
      </c>
      <c r="I10" s="10" t="s">
        <v>24</v>
      </c>
    </row>
    <row r="11" spans="1:9" x14ac:dyDescent="0.25">
      <c r="A11" s="11" t="s">
        <v>3</v>
      </c>
      <c r="B11" s="12" t="s">
        <v>30</v>
      </c>
      <c r="C11" s="2" t="s">
        <v>15</v>
      </c>
      <c r="D11" s="3">
        <v>487.43280557079402</v>
      </c>
      <c r="E11" s="3">
        <v>22.077880459201499</v>
      </c>
      <c r="F11" s="3">
        <v>14.65345524666</v>
      </c>
      <c r="G11" s="4">
        <v>0.20818619603505201</v>
      </c>
      <c r="H11" s="4">
        <v>0.53996543008606301</v>
      </c>
    </row>
    <row r="12" spans="1:9" x14ac:dyDescent="0.25">
      <c r="A12" s="11"/>
      <c r="B12" s="12"/>
      <c r="C12" s="2" t="s">
        <v>16</v>
      </c>
      <c r="D12" s="3">
        <v>460.87609263648199</v>
      </c>
      <c r="E12" s="3">
        <v>21.468024889040901</v>
      </c>
      <c r="F12" s="3">
        <v>14.364872426697699</v>
      </c>
      <c r="G12" s="4">
        <v>0.202283933561967</v>
      </c>
      <c r="H12" s="4">
        <v>0.56417276214085699</v>
      </c>
      <c r="I12" s="10" t="s">
        <v>24</v>
      </c>
    </row>
    <row r="13" spans="1:9" x14ac:dyDescent="0.25">
      <c r="A13" s="11"/>
      <c r="B13" s="12"/>
      <c r="C13" s="2" t="s">
        <v>17</v>
      </c>
      <c r="D13" s="3">
        <v>495.279371179213</v>
      </c>
      <c r="E13" s="3">
        <v>22.254872976029599</v>
      </c>
      <c r="F13" s="3">
        <v>14.8714215972206</v>
      </c>
      <c r="G13" s="4">
        <v>0.21299453549997799</v>
      </c>
      <c r="H13" s="4">
        <v>0.53134494612150296</v>
      </c>
      <c r="I13" s="9" t="s">
        <v>25</v>
      </c>
    </row>
    <row r="14" spans="1:9" x14ac:dyDescent="0.25">
      <c r="A14" s="11" t="s">
        <v>12</v>
      </c>
      <c r="B14" s="12" t="s">
        <v>31</v>
      </c>
      <c r="C14" s="2" t="s">
        <v>15</v>
      </c>
      <c r="D14" s="3">
        <v>360.67073554378601</v>
      </c>
      <c r="E14" s="3">
        <v>18.991333169206001</v>
      </c>
      <c r="F14" s="3">
        <v>15.079702076159</v>
      </c>
      <c r="G14" s="4">
        <v>0.184676414212258</v>
      </c>
      <c r="H14" s="4">
        <v>0.28470042517259098</v>
      </c>
    </row>
    <row r="15" spans="1:9" x14ac:dyDescent="0.25">
      <c r="A15" s="11"/>
      <c r="B15" s="12"/>
      <c r="C15" s="2" t="s">
        <v>16</v>
      </c>
      <c r="D15" s="3">
        <v>355.91404741082499</v>
      </c>
      <c r="E15" s="3">
        <v>18.865684387554701</v>
      </c>
      <c r="F15" s="3">
        <v>14.751013842496</v>
      </c>
      <c r="G15" s="4">
        <v>0.185261329430711</v>
      </c>
      <c r="H15" s="4">
        <v>0.27635610439736003</v>
      </c>
      <c r="I15" s="9" t="s">
        <v>25</v>
      </c>
    </row>
    <row r="16" spans="1:9" x14ac:dyDescent="0.25">
      <c r="A16" s="11"/>
      <c r="B16" s="12"/>
      <c r="C16" s="2" t="s">
        <v>17</v>
      </c>
      <c r="D16" s="3">
        <v>410.70288200255601</v>
      </c>
      <c r="E16" s="3">
        <v>20.265805732873201</v>
      </c>
      <c r="F16" s="3">
        <v>16.4556445497455</v>
      </c>
      <c r="G16" s="4">
        <v>0.20240811772266301</v>
      </c>
      <c r="H16" s="4">
        <v>0.16213262685763</v>
      </c>
      <c r="I16" s="9" t="s">
        <v>25</v>
      </c>
    </row>
    <row r="17" spans="1:9" x14ac:dyDescent="0.25">
      <c r="A17" s="11" t="s">
        <v>4</v>
      </c>
      <c r="B17" s="12" t="s">
        <v>32</v>
      </c>
      <c r="C17" s="2" t="s">
        <v>15</v>
      </c>
      <c r="D17" s="3">
        <v>648.27423453067604</v>
      </c>
      <c r="E17" s="3">
        <v>25.4612300278418</v>
      </c>
      <c r="F17" s="3">
        <v>19.6895420676783</v>
      </c>
      <c r="G17" s="4">
        <v>0.25630390354815402</v>
      </c>
      <c r="H17" s="4">
        <v>0.442538031579922</v>
      </c>
    </row>
    <row r="18" spans="1:9" x14ac:dyDescent="0.25">
      <c r="A18" s="11"/>
      <c r="B18" s="12"/>
      <c r="C18" s="2" t="s">
        <v>16</v>
      </c>
      <c r="D18" s="3">
        <v>625.67173340176805</v>
      </c>
      <c r="E18" s="3">
        <v>25.0134310601678</v>
      </c>
      <c r="F18" s="3">
        <v>18.837438265482501</v>
      </c>
      <c r="G18" s="4">
        <v>0.246539390592596</v>
      </c>
      <c r="H18" s="4">
        <v>0.47203538328754402</v>
      </c>
      <c r="I18" s="10" t="s">
        <v>24</v>
      </c>
    </row>
    <row r="19" spans="1:9" x14ac:dyDescent="0.25">
      <c r="A19" s="11"/>
      <c r="B19" s="12"/>
      <c r="C19" s="2" t="s">
        <v>17</v>
      </c>
      <c r="D19" s="3">
        <v>689.80117476326598</v>
      </c>
      <c r="E19" s="3">
        <v>26.264066226752899</v>
      </c>
      <c r="F19" s="3">
        <v>19.961740464875099</v>
      </c>
      <c r="G19" s="4">
        <v>0.27553143816324399</v>
      </c>
      <c r="H19" s="4">
        <v>0.41792062290941201</v>
      </c>
      <c r="I19" s="9" t="s">
        <v>25</v>
      </c>
    </row>
    <row r="20" spans="1:9" x14ac:dyDescent="0.25">
      <c r="A20" s="11" t="s">
        <v>5</v>
      </c>
      <c r="B20" s="12" t="s">
        <v>33</v>
      </c>
      <c r="C20" s="2" t="s">
        <v>15</v>
      </c>
      <c r="D20" s="3">
        <v>309.11020338277501</v>
      </c>
      <c r="E20" s="3">
        <v>17.581530177512299</v>
      </c>
      <c r="F20" s="3">
        <v>13.6552408673709</v>
      </c>
      <c r="G20" s="4">
        <v>0.40910951878895202</v>
      </c>
      <c r="H20" s="4">
        <v>0.72526611239437999</v>
      </c>
    </row>
    <row r="21" spans="1:9" x14ac:dyDescent="0.25">
      <c r="A21" s="11"/>
      <c r="B21" s="12"/>
      <c r="C21" s="2" t="s">
        <v>16</v>
      </c>
      <c r="D21" s="3">
        <v>298.73765265423998</v>
      </c>
      <c r="E21" s="3">
        <v>17.284028831676899</v>
      </c>
      <c r="F21" s="3">
        <v>13.181899995876</v>
      </c>
      <c r="G21" s="4">
        <v>0.40467057652237698</v>
      </c>
      <c r="H21" s="4">
        <v>0.72812476367874701</v>
      </c>
      <c r="I21" s="10" t="s">
        <v>24</v>
      </c>
    </row>
    <row r="22" spans="1:9" x14ac:dyDescent="0.25">
      <c r="A22" s="11"/>
      <c r="B22" s="12"/>
      <c r="C22" s="2" t="s">
        <v>17</v>
      </c>
      <c r="D22" s="3">
        <v>331.43668190876099</v>
      </c>
      <c r="E22" s="3">
        <v>18.205402547286901</v>
      </c>
      <c r="F22" s="3">
        <v>14.6518902579943</v>
      </c>
      <c r="G22" s="4">
        <v>0.47357829620312603</v>
      </c>
      <c r="H22" s="4">
        <v>0.69836602310131501</v>
      </c>
      <c r="I22" s="9" t="s">
        <v>25</v>
      </c>
    </row>
    <row r="23" spans="1:9" x14ac:dyDescent="0.25">
      <c r="A23" s="11" t="s">
        <v>6</v>
      </c>
      <c r="B23" s="12" t="s">
        <v>34</v>
      </c>
      <c r="C23" s="2" t="s">
        <v>15</v>
      </c>
      <c r="D23" s="3">
        <v>305.34137959828098</v>
      </c>
      <c r="E23" s="3">
        <v>17.474020132707899</v>
      </c>
      <c r="F23" s="3">
        <v>12.8814274278798</v>
      </c>
      <c r="G23" s="4">
        <v>0.22345205714573399</v>
      </c>
      <c r="H23" s="4">
        <v>0.76952326096338797</v>
      </c>
    </row>
    <row r="24" spans="1:9" x14ac:dyDescent="0.25">
      <c r="A24" s="11"/>
      <c r="B24" s="12"/>
      <c r="C24" s="2" t="s">
        <v>16</v>
      </c>
      <c r="D24" s="3">
        <v>315.84242122478298</v>
      </c>
      <c r="E24" s="3">
        <v>17.7719560326032</v>
      </c>
      <c r="F24" s="3">
        <v>13.1608965830369</v>
      </c>
      <c r="G24" s="4">
        <v>0.21041612155686201</v>
      </c>
      <c r="H24" s="4">
        <v>0.76154417162391397</v>
      </c>
      <c r="I24" s="10" t="s">
        <v>24</v>
      </c>
    </row>
    <row r="25" spans="1:9" x14ac:dyDescent="0.25">
      <c r="A25" s="11"/>
      <c r="B25" s="12"/>
      <c r="C25" s="2" t="s">
        <v>17</v>
      </c>
      <c r="D25" s="3">
        <v>389.69735420420898</v>
      </c>
      <c r="E25" s="3">
        <v>19.740753638202602</v>
      </c>
      <c r="F25" s="3">
        <v>15.576538858991601</v>
      </c>
      <c r="G25" s="4">
        <v>0.29509957236990397</v>
      </c>
      <c r="H25" s="4">
        <v>0.70306194526031995</v>
      </c>
      <c r="I25" s="9" t="s">
        <v>25</v>
      </c>
    </row>
    <row r="32" spans="1:9" x14ac:dyDescent="0.25">
      <c r="B32" t="s">
        <v>26</v>
      </c>
    </row>
  </sheetData>
  <mergeCells count="16">
    <mergeCell ref="A14:A16"/>
    <mergeCell ref="A17:A19"/>
    <mergeCell ref="A20:A22"/>
    <mergeCell ref="A23:A25"/>
    <mergeCell ref="B23:B25"/>
    <mergeCell ref="B20:B22"/>
    <mergeCell ref="B17:B19"/>
    <mergeCell ref="B14:B16"/>
    <mergeCell ref="A2:A4"/>
    <mergeCell ref="B2:B4"/>
    <mergeCell ref="A5:A7"/>
    <mergeCell ref="B5:B7"/>
    <mergeCell ref="A11:A13"/>
    <mergeCell ref="B11:B13"/>
    <mergeCell ref="A8:A10"/>
    <mergeCell ref="B8:B10"/>
  </mergeCells>
  <phoneticPr fontId="1" type="noConversion"/>
  <conditionalFormatting sqref="D1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{21CC4FB1-C37A-4D1A-BF2A-5FEB4F3F1BCF}</x14:id>
        </ext>
      </extLst>
    </cfRule>
  </conditionalFormatting>
  <conditionalFormatting sqref="E1:E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{AC5ADA08-1D33-40F7-8CBC-7A41C1831568}</x14:id>
        </ext>
      </extLst>
    </cfRule>
  </conditionalFormatting>
  <conditionalFormatting sqref="F1:F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{1E59FD15-8061-4309-82EE-5F6B01748BC6}</x14:id>
        </ext>
      </extLst>
    </cfRule>
  </conditionalFormatting>
  <conditionalFormatting sqref="G2:G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:G1048576 G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{0E87FEB2-9A24-40D7-910B-FF9AD2FEED6E}</x14:id>
        </ext>
      </extLst>
    </cfRule>
  </conditionalFormatting>
  <conditionalFormatting sqref="H2:H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H1048576 H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{E3865E87-E3F7-4C2A-8F54-3BD0704C3285}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C4FB1-C37A-4D1A-BF2A-5FEB4F3F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AC5ADA08-1D33-40F7-8CBC-7A41C18315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E59FD15-8061-4309-82EE-5F6B01748B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0E87FEB2-9A24-40D7-910B-FF9AD2FEED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G26:G1048576 G1</xm:sqref>
        </x14:conditionalFormatting>
        <x14:conditionalFormatting xmlns:xm="http://schemas.microsoft.com/office/excel/2006/main">
          <x14:cfRule type="dataBar" id="{E3865E87-E3F7-4C2A-8F54-3BD0704C32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H26:H1048576 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Shibo Wang</cp:lastModifiedBy>
  <dcterms:created xsi:type="dcterms:W3CDTF">2015-06-05T18:19:34Z</dcterms:created>
  <dcterms:modified xsi:type="dcterms:W3CDTF">2025-08-29T18:40:36Z</dcterms:modified>
</cp:coreProperties>
</file>